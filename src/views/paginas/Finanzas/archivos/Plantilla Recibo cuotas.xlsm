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URICIO\Users\Usuario\Desktop\0.Carpeta Compartida PC Mauricio\5 Finanzas\01.Pago de obras de gas\11) 65753 BICENTENARIO Malargue\"/>
    </mc:Choice>
  </mc:AlternateContent>
  <xr:revisionPtr revIDLastSave="0" documentId="13_ncr:1_{2452EF30-C6A3-4467-A704-87828FF233B1}" xr6:coauthVersionLast="47" xr6:coauthVersionMax="47" xr10:uidLastSave="{00000000-0000-0000-0000-000000000000}"/>
  <bookViews>
    <workbookView xWindow="20370" yWindow="-120" windowWidth="20730" windowHeight="11160" xr2:uid="{865199D7-FC27-416A-B732-E3AE2DDF80F3}"/>
  </bookViews>
  <sheets>
    <sheet name="Hoja1" sheetId="1" r:id="rId1"/>
    <sheet name="BD" sheetId="2" r:id="rId2"/>
  </sheets>
  <definedNames>
    <definedName name="_xlnm.Print_Area" localSheetId="0">Hoja1!$B$1:$S$25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N4" i="1" l="1"/>
  <c r="E17" i="1"/>
  <c r="Q23" i="1"/>
  <c r="E22" i="1" l="1"/>
</calcChain>
</file>

<file path=xl/sharedStrings.xml><?xml version="1.0" encoding="utf-8"?>
<sst xmlns="http://schemas.openxmlformats.org/spreadsheetml/2006/main" count="34" uniqueCount="26">
  <si>
    <t>LIQUIDACIÓN DE PAGO</t>
  </si>
  <si>
    <t>Concepto</t>
  </si>
  <si>
    <t>Importe</t>
  </si>
  <si>
    <t>Sub-total</t>
  </si>
  <si>
    <t>TOTAL</t>
  </si>
  <si>
    <t>Recibí(mos) de</t>
  </si>
  <si>
    <t>Sr.</t>
  </si>
  <si>
    <t>Con domicilio en</t>
  </si>
  <si>
    <t>La cantidad de</t>
  </si>
  <si>
    <t>Según el siguiente detalle:</t>
  </si>
  <si>
    <t>Efectivo por</t>
  </si>
  <si>
    <t>N°</t>
  </si>
  <si>
    <t>Firma y aclaración</t>
  </si>
  <si>
    <t>,</t>
  </si>
  <si>
    <t>Percibido por los conceptos indicados al margen.</t>
  </si>
  <si>
    <t>Mendoza</t>
  </si>
  <si>
    <t>-------------------------------------------------------------------------------------------------------------------------------</t>
  </si>
  <si>
    <t>/////////////////////</t>
  </si>
  <si>
    <t xml:space="preserve">RECIBO </t>
  </si>
  <si>
    <t>VERDUGO GUILLERMO</t>
  </si>
  <si>
    <t>F13</t>
  </si>
  <si>
    <t>Barrio Bicentenario, Lote</t>
  </si>
  <si>
    <t>PESOS DIECISIETE MIL TRESCIENTOS OCHENTA Y CINCO CON 00/100</t>
  </si>
  <si>
    <t>ARAYA MARINA</t>
  </si>
  <si>
    <t>B24</t>
  </si>
  <si>
    <t>PAGO CUOTA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</si>
</sst>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[$-F800]dddd\,\ mmmm\ dd\,\ yyyy"/>
  </numFmts>
  <fonts count="17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Calibri"/>
      <family val="2"/>
      <scheme val="minor"/>
    </font>
    <font>
      <b/>
      <i/>
      <sz val="14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0" fillId="0" borderId="0" applyFont="0" applyFill="0" applyBorder="0" applyAlignment="0" applyProtection="0"/>
  </cellStyleXfs>
  <cellXfs count="59">
    <xf numFmtId="0" fontId="0" fillId="0" borderId="0" xfId="0"/>
    <xf numFmtId="0" fontId="0" fillId="0" borderId="2" xfId="0" applyBorder="1"/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5" fillId="0" borderId="2" xfId="0" applyFont="1" applyBorder="1"/>
    <xf numFmtId="0" fontId="5" fillId="0" borderId="2" xfId="0" applyFont="1" applyBorder="1" applyAlignment="1">
      <alignment horizontal="right" vertical="center"/>
    </xf>
    <xf numFmtId="0" fontId="0" fillId="0" borderId="0" xfId="0" applyBorder="1" applyAlignment="1"/>
    <xf numFmtId="0" fontId="5" fillId="0" borderId="0" xfId="0" applyFont="1" applyBorder="1"/>
    <xf numFmtId="0" fontId="0" fillId="0" borderId="0" xfId="0" applyBorder="1" applyAlignment="1">
      <alignment horizontal="left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left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7" fillId="0" borderId="0" xfId="0" applyFont="1" applyBorder="1"/>
    <xf numFmtId="0" fontId="0" fillId="0" borderId="2" xfId="0" applyBorder="1" applyAlignment="1">
      <alignment horizontal="center"/>
    </xf>
    <xf numFmtId="0" fontId="13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0" fontId="0" fillId="0" borderId="18" xfId="0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7" fillId="2" borderId="3" xfId="0" quotePrefix="1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0" fillId="0" borderId="0" xfId="0" applyBorder="1" applyAlignment="1">
      <alignment horizontal="center" vertical="center" textRotation="90" shrinkToFit="1"/>
    </xf>
    <xf numFmtId="0" fontId="5" fillId="0" borderId="5" xfId="0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4" fontId="9" fillId="2" borderId="4" xfId="1" applyFont="1" applyFill="1" applyBorder="1" applyAlignment="1">
      <alignment horizontal="left" vertical="center"/>
    </xf>
    <xf numFmtId="44" fontId="9" fillId="2" borderId="2" xfId="1" applyFont="1" applyFill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43" fontId="7" fillId="0" borderId="2" xfId="0" applyNumberFormat="1" applyFont="1" applyBorder="1" applyAlignment="1">
      <alignment horizontal="left"/>
    </xf>
    <xf numFmtId="0" fontId="5" fillId="0" borderId="2" xfId="0" applyFont="1" applyBorder="1" applyAlignment="1">
      <alignment horizontal="left" vertical="center"/>
    </xf>
    <xf numFmtId="0" fontId="0" fillId="0" borderId="3" xfId="0" applyBorder="1" applyAlignment="1">
      <alignment horizontal="center"/>
    </xf>
    <xf numFmtId="43" fontId="7" fillId="0" borderId="0" xfId="0" applyNumberFormat="1" applyFont="1" applyBorder="1" applyAlignment="1">
      <alignment horizontal="left"/>
    </xf>
    <xf numFmtId="44" fontId="7" fillId="0" borderId="2" xfId="1" applyFont="1" applyBorder="1" applyAlignment="1">
      <alignment horizontal="left" vertical="center"/>
    </xf>
    <xf numFmtId="0" fontId="7" fillId="0" borderId="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16" fillId="2" borderId="3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43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44" fontId="3" fillId="0" borderId="1" xfId="1" applyFont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238126</xdr:colOff>
      <xdr:row>0</xdr:row>
      <xdr:rowOff>47625</xdr:rowOff>
    </xdr:from>
    <xdr:to>
      <xdr:col>4</xdr:col>
      <xdr:colOff>428625</xdr:colOff>
      <xdr:row>3</xdr:row>
      <xdr:rowOff>190500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F952BC2-A749-43F0-83AE-16414B05C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1226" y="47625"/>
          <a:ext cx="952499" cy="714375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17</xdr:row>
      <xdr:rowOff>9525</xdr:rowOff>
    </xdr:from>
    <xdr:to>
      <xdr:col>13</xdr:col>
      <xdr:colOff>695328</xdr:colOff>
      <xdr:row>24</xdr:row>
      <xdr:rowOff>123828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BFDA08D-E103-42E2-B51D-6B7726D04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6975" y="3438525"/>
          <a:ext cx="1600203" cy="1447803"/>
        </a:xfrm>
        <a:prstGeom prst="rect">
          <a:avLst/>
        </a:prstGeom>
      </xdr:spPr>
    </xdr:pic>
    <xdr:clientData/>
  </xdr:twoCellAnchor>
  <xdr:twoCellAnchor>
    <xdr:from>
      <xdr:col>19</xdr:col>
      <xdr:colOff>123826</xdr:colOff>
      <xdr:row>3</xdr:row>
      <xdr:rowOff>142875</xdr:rowOff>
    </xdr:from>
    <xdr:to>
      <xdr:col>21</xdr:col>
      <xdr:colOff>285750</xdr:colOff>
      <xdr:row>7</xdr:row>
      <xdr:rowOff>104775</xdr:rowOff>
    </xdr:to>
    <xdr:sp macro="[0]!AutoComprobant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68CA792-B5FD-44A0-BFFA-B200471A22DF}"/>
            </a:ext>
          </a:extLst>
        </xdr:cNvPr>
        <xdr:cNvSpPr/>
      </xdr:nvSpPr>
      <xdr:spPr>
        <a:xfrm>
          <a:off x="11258551" y="714375"/>
          <a:ext cx="1685924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/>
            <a:t>Imprimir</a:t>
          </a:r>
        </a:p>
        <a:p>
          <a:pPr algn="ctr"/>
          <a:r>
            <a:rPr lang="es-AR" sz="1400"/>
            <a:t>(ver Mis Documentos)</a:t>
          </a:r>
        </a:p>
        <a:p>
          <a:pPr algn="ctr"/>
          <a:endParaRPr lang="es-A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E7AA5-6C1B-417D-8502-A6535DB629C7}">
  <sheetPr codeName="Hoja1">
    <pageSetUpPr fitToPage="1"/>
  </sheetPr>
  <dimension ref="B1:S25"/>
  <sheetViews>
    <sheetView showGridLines="0" tabSelected="1" topLeftCell="B1" workbookViewId="0">
      <selection activeCell="E9" sqref="E9:F10"/>
    </sheetView>
  </sheetViews>
  <sheetFormatPr baseColWidth="10" defaultRowHeight="15" x14ac:dyDescent="0.25"/>
  <cols>
    <col min="1" max="1" width="14.140625" customWidth="1"/>
    <col min="2" max="2" width="3.5703125" customWidth="1"/>
    <col min="7" max="7" width="3.7109375" bestFit="1" customWidth="1"/>
    <col min="8" max="8" width="4.28515625" customWidth="1"/>
    <col min="9" max="9" width="14.140625" bestFit="1" customWidth="1"/>
    <col min="10" max="10" width="4.28515625" customWidth="1"/>
    <col min="11" max="11" width="3.28515625" bestFit="1" customWidth="1"/>
    <col min="13" max="13" width="3.140625" bestFit="1" customWidth="1"/>
    <col min="14" max="14" width="16.85546875" customWidth="1"/>
    <col min="15" max="15" width="1.42578125" customWidth="1"/>
    <col min="17" max="17" width="3.28515625" bestFit="1" customWidth="1"/>
    <col min="18" max="18" width="15.7109375" customWidth="1"/>
    <col min="19" max="19" width="3.5703125" customWidth="1"/>
  </cols>
  <sheetData>
    <row r="1" spans="2:19" ht="15" customHeight="1" x14ac:dyDescent="0.25">
      <c r="B1" s="11"/>
      <c r="C1" s="12"/>
      <c r="D1" s="12"/>
      <c r="E1" s="12"/>
      <c r="F1" s="12"/>
      <c r="G1" s="41" t="s">
        <v>18</v>
      </c>
      <c r="H1" s="41"/>
      <c r="I1" s="41"/>
      <c r="J1" s="41"/>
      <c r="K1" s="41"/>
      <c r="L1" s="41"/>
      <c r="M1" s="41"/>
      <c r="N1" s="41"/>
      <c r="O1" s="12"/>
      <c r="P1" s="12"/>
      <c r="Q1" s="12"/>
      <c r="R1" s="12"/>
      <c r="S1" s="13"/>
    </row>
    <row r="2" spans="2:19" ht="15" customHeight="1" x14ac:dyDescent="0.25">
      <c r="B2" s="14"/>
      <c r="C2" s="2"/>
      <c r="D2" s="2"/>
      <c r="E2" s="2"/>
      <c r="F2" s="2"/>
      <c r="G2" s="42"/>
      <c r="H2" s="42"/>
      <c r="I2" s="42"/>
      <c r="J2" s="42"/>
      <c r="K2" s="42"/>
      <c r="L2" s="42"/>
      <c r="M2" s="42"/>
      <c r="N2" s="42"/>
      <c r="O2" s="2"/>
      <c r="P2" s="2"/>
      <c r="Q2" s="9" t="s">
        <v>11</v>
      </c>
      <c r="R2" s="10">
        <v>82</v>
      </c>
      <c r="S2" s="15"/>
    </row>
    <row r="3" spans="2:19" x14ac:dyDescent="0.25">
      <c r="B3" s="14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15"/>
    </row>
    <row r="4" spans="2:19" ht="18.75" x14ac:dyDescent="0.25">
      <c r="B4" s="14"/>
      <c r="C4" s="2"/>
      <c r="D4" s="2"/>
      <c r="E4" s="2"/>
      <c r="F4" s="2"/>
      <c r="G4" s="2"/>
      <c r="H4" s="2"/>
      <c r="I4" s="2"/>
      <c r="J4" s="2"/>
      <c r="K4" s="2"/>
      <c r="L4" s="21" t="s">
        <v>15</v>
      </c>
      <c r="M4" s="20" t="s">
        <v>13</v>
      </c>
      <c r="N4" s="50">
        <f>+DATE(2022,8,4)</f>
        <v>44777</v>
      </c>
      <c r="O4" s="50"/>
      <c r="P4" s="50"/>
      <c r="Q4" s="50"/>
      <c r="R4" s="50"/>
      <c r="S4" s="15"/>
    </row>
    <row r="5" spans="2:19" ht="21" x14ac:dyDescent="0.35">
      <c r="B5" s="14"/>
      <c r="C5" s="53" t="s">
        <v>0</v>
      </c>
      <c r="D5" s="53"/>
      <c r="E5" s="53"/>
      <c r="F5" s="53"/>
      <c r="G5" s="27" t="s">
        <v>14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15"/>
    </row>
    <row r="6" spans="2:19" ht="20.25" x14ac:dyDescent="0.25">
      <c r="B6" s="14"/>
      <c r="C6" s="52" t="s">
        <v>1</v>
      </c>
      <c r="D6" s="52"/>
      <c r="E6" s="52" t="s">
        <v>2</v>
      </c>
      <c r="F6" s="52"/>
      <c r="G6" s="27"/>
      <c r="H6" s="2"/>
      <c r="I6" s="4" t="s">
        <v>5</v>
      </c>
      <c r="J6" s="1"/>
      <c r="K6" s="4" t="s">
        <v>6</v>
      </c>
      <c r="L6" s="55" t="s">
        <v>23</v>
      </c>
      <c r="M6" s="55"/>
      <c r="N6" s="55"/>
      <c r="O6" s="55"/>
      <c r="P6" s="55"/>
      <c r="Q6" s="55"/>
      <c r="R6" s="55"/>
      <c r="S6" s="15"/>
    </row>
    <row r="7" spans="2:19" x14ac:dyDescent="0.25">
      <c r="B7" s="14"/>
      <c r="C7" s="54" t="s">
        <v>25</v>
      </c>
      <c r="D7" s="54"/>
      <c r="E7" s="44">
        <f>+Q23</f>
        <v>13431</v>
      </c>
      <c r="F7" s="44"/>
      <c r="G7" s="27"/>
      <c r="H7" s="2"/>
      <c r="I7" s="56"/>
      <c r="J7" s="56"/>
      <c r="K7" s="56"/>
      <c r="L7" s="39"/>
      <c r="M7" s="39"/>
      <c r="N7" s="39"/>
      <c r="O7" s="39"/>
      <c r="P7" s="39"/>
      <c r="Q7" s="39"/>
      <c r="R7" s="39"/>
      <c r="S7" s="15"/>
    </row>
    <row r="8" spans="2:19" ht="18" x14ac:dyDescent="0.25">
      <c r="B8" s="14"/>
      <c r="C8" s="54"/>
      <c r="D8" s="54"/>
      <c r="E8" s="44"/>
      <c r="F8" s="44"/>
      <c r="G8" s="27"/>
      <c r="H8" s="2"/>
      <c r="I8" s="34" t="s">
        <v>7</v>
      </c>
      <c r="J8" s="34"/>
      <c r="K8" s="34"/>
      <c r="L8" s="51" t="s">
        <v>21</v>
      </c>
      <c r="M8" s="51"/>
      <c r="N8" s="51"/>
      <c r="O8" s="51"/>
      <c r="P8" s="51"/>
      <c r="Q8" s="51"/>
      <c r="R8" s="22" t="s">
        <v>24</v>
      </c>
      <c r="S8" s="15"/>
    </row>
    <row r="9" spans="2:19" ht="3.75" customHeight="1" x14ac:dyDescent="0.25">
      <c r="B9" s="14"/>
      <c r="C9" s="46" t="s">
        <v>17</v>
      </c>
      <c r="D9" s="47"/>
      <c r="E9" s="46" t="s">
        <v>17</v>
      </c>
      <c r="F9" s="47"/>
      <c r="G9" s="27"/>
      <c r="H9" s="2"/>
      <c r="I9" s="2"/>
      <c r="J9" s="6"/>
      <c r="K9" s="6"/>
      <c r="L9" s="6"/>
      <c r="M9" s="6"/>
      <c r="N9" s="6"/>
      <c r="O9" s="6"/>
      <c r="P9" s="6"/>
      <c r="Q9" s="6"/>
      <c r="R9" s="6"/>
      <c r="S9" s="15"/>
    </row>
    <row r="10" spans="2:19" ht="26.25" customHeight="1" x14ac:dyDescent="0.25">
      <c r="B10" s="14"/>
      <c r="C10" s="48"/>
      <c r="D10" s="49"/>
      <c r="E10" s="48"/>
      <c r="F10" s="49"/>
      <c r="G10" s="27"/>
      <c r="H10" s="2"/>
      <c r="I10" s="7" t="s">
        <v>8</v>
      </c>
      <c r="J10" s="40" t="s">
        <v>22</v>
      </c>
      <c r="K10" s="40"/>
      <c r="L10" s="40"/>
      <c r="M10" s="40"/>
      <c r="N10" s="40"/>
      <c r="O10" s="40"/>
      <c r="P10" s="40"/>
      <c r="Q10" s="40"/>
      <c r="R10" s="40"/>
      <c r="S10" s="15"/>
    </row>
    <row r="11" spans="2:19" ht="3.75" customHeight="1" x14ac:dyDescent="0.25">
      <c r="B11" s="14"/>
      <c r="C11" s="46" t="s">
        <v>17</v>
      </c>
      <c r="D11" s="47"/>
      <c r="E11" s="46" t="s">
        <v>17</v>
      </c>
      <c r="F11" s="47"/>
      <c r="G11" s="27"/>
      <c r="H11" s="2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15"/>
    </row>
    <row r="12" spans="2:19" ht="26.25" customHeight="1" x14ac:dyDescent="0.25">
      <c r="B12" s="14"/>
      <c r="C12" s="48"/>
      <c r="D12" s="49"/>
      <c r="E12" s="48"/>
      <c r="F12" s="49"/>
      <c r="G12" s="27"/>
      <c r="H12" s="2"/>
      <c r="I12" s="25" t="s">
        <v>16</v>
      </c>
      <c r="J12" s="26"/>
      <c r="K12" s="26"/>
      <c r="L12" s="26"/>
      <c r="M12" s="26"/>
      <c r="N12" s="26"/>
      <c r="O12" s="26"/>
      <c r="P12" s="26"/>
      <c r="Q12" s="26"/>
      <c r="R12" s="26"/>
      <c r="S12" s="15"/>
    </row>
    <row r="13" spans="2:19" x14ac:dyDescent="0.25">
      <c r="B13" s="14"/>
      <c r="C13" s="46" t="s">
        <v>17</v>
      </c>
      <c r="D13" s="47"/>
      <c r="E13" s="46" t="s">
        <v>17</v>
      </c>
      <c r="F13" s="47"/>
      <c r="G13" s="27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15"/>
    </row>
    <row r="14" spans="2:19" x14ac:dyDescent="0.25">
      <c r="B14" s="14"/>
      <c r="C14" s="48"/>
      <c r="D14" s="49"/>
      <c r="E14" s="48"/>
      <c r="F14" s="49"/>
      <c r="G14" s="27"/>
      <c r="H14" s="2"/>
      <c r="I14" s="34" t="s">
        <v>9</v>
      </c>
      <c r="J14" s="34"/>
      <c r="K14" s="34"/>
      <c r="L14" s="34"/>
      <c r="M14" s="34"/>
      <c r="N14" s="5" t="s">
        <v>10</v>
      </c>
      <c r="O14" s="2"/>
      <c r="P14" s="37">
        <v>13431</v>
      </c>
      <c r="Q14" s="37"/>
      <c r="R14" s="37"/>
      <c r="S14" s="15"/>
    </row>
    <row r="15" spans="2:19" x14ac:dyDescent="0.25">
      <c r="B15" s="14"/>
      <c r="C15" s="46" t="s">
        <v>17</v>
      </c>
      <c r="D15" s="47"/>
      <c r="E15" s="46" t="s">
        <v>17</v>
      </c>
      <c r="F15" s="47"/>
      <c r="G15" s="27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15"/>
    </row>
    <row r="16" spans="2:19" x14ac:dyDescent="0.25">
      <c r="B16" s="14"/>
      <c r="C16" s="48"/>
      <c r="D16" s="49"/>
      <c r="E16" s="48"/>
      <c r="F16" s="49"/>
      <c r="G16" s="27"/>
      <c r="H16" s="2"/>
      <c r="I16" s="4"/>
      <c r="J16" s="32"/>
      <c r="K16" s="32"/>
      <c r="L16" s="32"/>
      <c r="M16" s="32"/>
      <c r="N16" s="32"/>
      <c r="O16" s="3"/>
      <c r="P16" s="33"/>
      <c r="Q16" s="33"/>
      <c r="R16" s="33"/>
      <c r="S16" s="15"/>
    </row>
    <row r="17" spans="2:19" x14ac:dyDescent="0.25">
      <c r="B17" s="14"/>
      <c r="C17" s="43" t="s">
        <v>3</v>
      </c>
      <c r="D17" s="43"/>
      <c r="E17" s="44">
        <f>+SUM(E7:F16)</f>
        <v>13431</v>
      </c>
      <c r="F17" s="44"/>
      <c r="G17" s="27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15"/>
    </row>
    <row r="18" spans="2:19" x14ac:dyDescent="0.25">
      <c r="B18" s="14"/>
      <c r="C18" s="43"/>
      <c r="D18" s="43"/>
      <c r="E18" s="44"/>
      <c r="F18" s="44"/>
      <c r="G18" s="27"/>
      <c r="H18" s="2"/>
      <c r="I18" s="7"/>
      <c r="J18" s="38"/>
      <c r="K18" s="38"/>
      <c r="L18" s="38"/>
      <c r="M18" s="7"/>
      <c r="N18" s="19"/>
      <c r="O18" s="2"/>
      <c r="P18" s="36"/>
      <c r="Q18" s="36"/>
      <c r="R18" s="36"/>
      <c r="S18" s="15"/>
    </row>
    <row r="19" spans="2:19" x14ac:dyDescent="0.25">
      <c r="B19" s="14"/>
      <c r="C19" s="45"/>
      <c r="D19" s="45"/>
      <c r="E19" s="44"/>
      <c r="F19" s="44"/>
      <c r="G19" s="27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15"/>
    </row>
    <row r="20" spans="2:19" x14ac:dyDescent="0.25">
      <c r="B20" s="14"/>
      <c r="C20" s="45"/>
      <c r="D20" s="45"/>
      <c r="E20" s="44"/>
      <c r="F20" s="44"/>
      <c r="G20" s="27"/>
      <c r="H20" s="2"/>
      <c r="S20" s="15"/>
    </row>
    <row r="21" spans="2:19" x14ac:dyDescent="0.25">
      <c r="B21" s="14"/>
      <c r="C21" s="2"/>
      <c r="D21" s="2"/>
      <c r="E21" s="2"/>
      <c r="F21" s="2"/>
      <c r="G21" s="27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15"/>
    </row>
    <row r="22" spans="2:19" x14ac:dyDescent="0.25">
      <c r="B22" s="14"/>
      <c r="C22" s="57" t="s">
        <v>4</v>
      </c>
      <c r="D22" s="57"/>
      <c r="E22" s="58">
        <f>SUM(E17:F20)</f>
        <v>13431</v>
      </c>
      <c r="F22" s="58"/>
      <c r="G22" s="27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15"/>
    </row>
    <row r="23" spans="2:19" x14ac:dyDescent="0.25">
      <c r="B23" s="14"/>
      <c r="C23" s="57"/>
      <c r="D23" s="57"/>
      <c r="E23" s="58"/>
      <c r="F23" s="58"/>
      <c r="G23" s="27"/>
      <c r="H23" s="2"/>
      <c r="I23" s="2"/>
      <c r="J23" s="2"/>
      <c r="K23" s="2"/>
      <c r="L23" s="2"/>
      <c r="M23" s="2"/>
      <c r="N23" s="2"/>
      <c r="O23" s="2"/>
      <c r="P23" s="29" t="s">
        <v>4</v>
      </c>
      <c r="Q23" s="30">
        <f>+P14</f>
        <v>13431</v>
      </c>
      <c r="R23" s="30"/>
      <c r="S23" s="15"/>
    </row>
    <row r="24" spans="2:19" x14ac:dyDescent="0.25">
      <c r="B24" s="14"/>
      <c r="C24" s="57"/>
      <c r="D24" s="57"/>
      <c r="E24" s="58"/>
      <c r="F24" s="58"/>
      <c r="G24" s="27"/>
      <c r="H24" s="2"/>
      <c r="I24" s="28" t="s">
        <v>12</v>
      </c>
      <c r="J24" s="28"/>
      <c r="K24" s="28"/>
      <c r="L24" s="28"/>
      <c r="M24" s="28"/>
      <c r="N24" s="28"/>
      <c r="O24" s="8"/>
      <c r="P24" s="29"/>
      <c r="Q24" s="31"/>
      <c r="R24" s="31"/>
      <c r="S24" s="15"/>
    </row>
    <row r="25" spans="2:19" ht="15.75" thickBot="1" x14ac:dyDescent="0.3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8"/>
    </row>
  </sheetData>
  <mergeCells count="39">
    <mergeCell ref="C22:D24"/>
    <mergeCell ref="E22:F24"/>
    <mergeCell ref="C11:D12"/>
    <mergeCell ref="E11:F12"/>
    <mergeCell ref="C13:D14"/>
    <mergeCell ref="E13:F14"/>
    <mergeCell ref="C15:D16"/>
    <mergeCell ref="E15:F16"/>
    <mergeCell ref="G1:N2"/>
    <mergeCell ref="C17:D18"/>
    <mergeCell ref="E17:F18"/>
    <mergeCell ref="C19:D20"/>
    <mergeCell ref="E19:F20"/>
    <mergeCell ref="C9:D10"/>
    <mergeCell ref="E9:F10"/>
    <mergeCell ref="N4:R4"/>
    <mergeCell ref="L8:Q8"/>
    <mergeCell ref="C6:D6"/>
    <mergeCell ref="E6:F6"/>
    <mergeCell ref="C5:F5"/>
    <mergeCell ref="C7:D8"/>
    <mergeCell ref="E7:F8"/>
    <mergeCell ref="L6:R6"/>
    <mergeCell ref="I7:K7"/>
    <mergeCell ref="I12:R12"/>
    <mergeCell ref="G5:G24"/>
    <mergeCell ref="I24:N24"/>
    <mergeCell ref="P23:P24"/>
    <mergeCell ref="Q23:R24"/>
    <mergeCell ref="J16:N16"/>
    <mergeCell ref="P16:R16"/>
    <mergeCell ref="I14:M14"/>
    <mergeCell ref="I11:R11"/>
    <mergeCell ref="P18:R18"/>
    <mergeCell ref="P14:R14"/>
    <mergeCell ref="J18:L18"/>
    <mergeCell ref="L7:R7"/>
    <mergeCell ref="J10:R10"/>
    <mergeCell ref="I8:K8"/>
  </mergeCells>
  <pageMargins left="0.7" right="0.7" top="0.75" bottom="0.75" header="0.3" footer="0.3"/>
  <pageSetup paperSize="121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B02DD-AF00-45FC-9670-74DD1A1F62A6}">
  <sheetPr codeName="Hoja2"/>
  <dimension ref="A1:B1"/>
  <sheetViews>
    <sheetView workbookViewId="0">
      <selection activeCell="B2" sqref="B2"/>
    </sheetView>
  </sheetViews>
  <sheetFormatPr baseColWidth="10" defaultRowHeight="15" x14ac:dyDescent="0.25"/>
  <sheetData>
    <row r="1" spans="1:2" ht="30" x14ac:dyDescent="0.25">
      <c r="A1" s="24" t="s">
        <v>20</v>
      </c>
      <c r="B1" s="23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BD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2022-08-19T11:47:33Z</cp:lastPrinted>
  <dcterms:created xsi:type="dcterms:W3CDTF">2022-04-05T12:17:48Z</dcterms:created>
  <dcterms:modified xsi:type="dcterms:W3CDTF">2022-08-19T12:42:23Z</dcterms:modified>
</cp:coreProperties>
</file>